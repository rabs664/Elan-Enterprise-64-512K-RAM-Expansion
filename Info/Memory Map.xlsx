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bewe\RetroComputing\Enterprise\MyHardware\512K Memory Expansion\Memory Map\"/>
    </mc:Choice>
  </mc:AlternateContent>
  <xr:revisionPtr revIDLastSave="0" documentId="13_ncr:1_{46473E32-F5FA-489C-8359-D62E25E560CE}" xr6:coauthVersionLast="47" xr6:coauthVersionMax="47" xr10:uidLastSave="{00000000-0000-0000-0000-000000000000}"/>
  <bookViews>
    <workbookView xWindow="-120" yWindow="-120" windowWidth="29040" windowHeight="15720" activeTab="1" xr2:uid="{59769BC5-000D-47E3-8F8F-B289919F59B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O3" i="2" l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2" i="2"/>
  <c r="A3" i="2"/>
  <c r="C3" i="2" s="1"/>
  <c r="C2" i="2"/>
  <c r="D2" i="2" s="1"/>
  <c r="B2" i="2"/>
  <c r="K2" i="1"/>
  <c r="I2" i="1"/>
  <c r="K2" i="2" l="1"/>
  <c r="F2" i="2"/>
  <c r="E2" i="2"/>
  <c r="D3" i="2"/>
  <c r="E3" i="2"/>
  <c r="F3" i="2"/>
  <c r="G3" i="2"/>
  <c r="H3" i="2"/>
  <c r="I3" i="2"/>
  <c r="J3" i="2"/>
  <c r="K3" i="2"/>
  <c r="J2" i="2"/>
  <c r="I2" i="2"/>
  <c r="H2" i="2"/>
  <c r="G2" i="2"/>
  <c r="A4" i="2"/>
  <c r="B3" i="2"/>
  <c r="B4" i="2" l="1"/>
  <c r="A5" i="2"/>
  <c r="C4" i="2"/>
  <c r="C5" i="2" l="1"/>
  <c r="B5" i="2"/>
  <c r="A6" i="2"/>
  <c r="D4" i="2"/>
  <c r="E4" i="2"/>
  <c r="F4" i="2"/>
  <c r="G4" i="2"/>
  <c r="H4" i="2"/>
  <c r="I4" i="2"/>
  <c r="J4" i="2"/>
  <c r="K4" i="2"/>
  <c r="B6" i="2" l="1"/>
  <c r="A7" i="2"/>
  <c r="C6" i="2"/>
  <c r="D5" i="2"/>
  <c r="E5" i="2"/>
  <c r="F5" i="2"/>
  <c r="G5" i="2"/>
  <c r="H5" i="2"/>
  <c r="I5" i="2"/>
  <c r="J5" i="2"/>
  <c r="K5" i="2"/>
  <c r="A8" i="2" l="1"/>
  <c r="C7" i="2"/>
  <c r="B7" i="2"/>
  <c r="D6" i="2"/>
  <c r="E6" i="2"/>
  <c r="F6" i="2"/>
  <c r="G6" i="2"/>
  <c r="H6" i="2"/>
  <c r="I6" i="2"/>
  <c r="J6" i="2"/>
  <c r="K6" i="2"/>
  <c r="D7" i="2" l="1"/>
  <c r="E7" i="2"/>
  <c r="F7" i="2"/>
  <c r="G7" i="2"/>
  <c r="H7" i="2"/>
  <c r="I7" i="2"/>
  <c r="J7" i="2"/>
  <c r="K7" i="2"/>
  <c r="A9" i="2"/>
  <c r="C8" i="2"/>
  <c r="B8" i="2"/>
  <c r="D8" i="2" l="1"/>
  <c r="E8" i="2"/>
  <c r="F8" i="2"/>
  <c r="G8" i="2"/>
  <c r="H8" i="2"/>
  <c r="I8" i="2"/>
  <c r="J8" i="2"/>
  <c r="K8" i="2"/>
  <c r="A10" i="2"/>
  <c r="C9" i="2"/>
  <c r="B9" i="2"/>
  <c r="D9" i="2" l="1"/>
  <c r="G9" i="2"/>
  <c r="J9" i="2"/>
  <c r="K9" i="2"/>
  <c r="F9" i="2"/>
  <c r="I9" i="2"/>
  <c r="E9" i="2"/>
  <c r="H9" i="2"/>
  <c r="A11" i="2"/>
  <c r="C10" i="2"/>
  <c r="B10" i="2"/>
  <c r="D10" i="2" l="1"/>
  <c r="E10" i="2"/>
  <c r="F10" i="2"/>
  <c r="G10" i="2"/>
  <c r="H10" i="2"/>
  <c r="I10" i="2"/>
  <c r="J10" i="2"/>
  <c r="K10" i="2"/>
  <c r="A12" i="2"/>
  <c r="C11" i="2"/>
  <c r="B11" i="2"/>
  <c r="E11" i="2" l="1"/>
  <c r="F11" i="2"/>
  <c r="G11" i="2"/>
  <c r="H11" i="2"/>
  <c r="I11" i="2"/>
  <c r="J11" i="2"/>
  <c r="K11" i="2"/>
  <c r="D11" i="2"/>
  <c r="A13" i="2"/>
  <c r="C12" i="2"/>
  <c r="B12" i="2"/>
  <c r="E12" i="2" l="1"/>
  <c r="F12" i="2"/>
  <c r="G12" i="2"/>
  <c r="H12" i="2"/>
  <c r="J12" i="2"/>
  <c r="K12" i="2"/>
  <c r="D12" i="2"/>
  <c r="I12" i="2"/>
  <c r="A14" i="2"/>
  <c r="C13" i="2"/>
  <c r="B13" i="2"/>
  <c r="D13" i="2" l="1"/>
  <c r="E13" i="2"/>
  <c r="F13" i="2"/>
  <c r="G13" i="2"/>
  <c r="H13" i="2"/>
  <c r="I13" i="2"/>
  <c r="J13" i="2"/>
  <c r="K13" i="2"/>
  <c r="A15" i="2"/>
  <c r="C14" i="2"/>
  <c r="B14" i="2"/>
  <c r="D14" i="2" l="1"/>
  <c r="G14" i="2"/>
  <c r="J14" i="2"/>
  <c r="E14" i="2"/>
  <c r="H14" i="2"/>
  <c r="K14" i="2"/>
  <c r="F14" i="2"/>
  <c r="I14" i="2"/>
  <c r="A16" i="2"/>
  <c r="C15" i="2"/>
  <c r="B15" i="2"/>
  <c r="D15" i="2" l="1"/>
  <c r="E15" i="2"/>
  <c r="F15" i="2"/>
  <c r="G15" i="2"/>
  <c r="H15" i="2"/>
  <c r="I15" i="2"/>
  <c r="J15" i="2"/>
  <c r="K15" i="2"/>
  <c r="A17" i="2"/>
  <c r="C16" i="2"/>
  <c r="B16" i="2"/>
  <c r="D16" i="2" l="1"/>
  <c r="E16" i="2"/>
  <c r="F16" i="2"/>
  <c r="G16" i="2"/>
  <c r="H16" i="2"/>
  <c r="I16" i="2"/>
  <c r="J16" i="2"/>
  <c r="K16" i="2"/>
  <c r="A18" i="2"/>
  <c r="C17" i="2"/>
  <c r="B17" i="2"/>
  <c r="D17" i="2" l="1"/>
  <c r="E17" i="2"/>
  <c r="F17" i="2"/>
  <c r="G17" i="2"/>
  <c r="H17" i="2"/>
  <c r="I17" i="2"/>
  <c r="J17" i="2"/>
  <c r="K17" i="2"/>
  <c r="A19" i="2"/>
  <c r="C18" i="2"/>
  <c r="B18" i="2"/>
  <c r="A20" i="2" l="1"/>
  <c r="C19" i="2"/>
  <c r="B19" i="2"/>
  <c r="D18" i="2"/>
  <c r="E18" i="2"/>
  <c r="F18" i="2"/>
  <c r="G18" i="2"/>
  <c r="H18" i="2"/>
  <c r="I18" i="2"/>
  <c r="J18" i="2"/>
  <c r="K18" i="2"/>
  <c r="D19" i="2" l="1"/>
  <c r="E19" i="2"/>
  <c r="F19" i="2"/>
  <c r="G19" i="2"/>
  <c r="H19" i="2"/>
  <c r="I19" i="2"/>
  <c r="J19" i="2"/>
  <c r="K19" i="2"/>
  <c r="A21" i="2"/>
  <c r="C20" i="2"/>
  <c r="B20" i="2"/>
  <c r="A22" i="2" l="1"/>
  <c r="C21" i="2"/>
  <c r="B21" i="2"/>
  <c r="D20" i="2"/>
  <c r="E20" i="2"/>
  <c r="F20" i="2"/>
  <c r="G20" i="2"/>
  <c r="H20" i="2"/>
  <c r="I20" i="2"/>
  <c r="J20" i="2"/>
  <c r="K20" i="2"/>
  <c r="J21" i="2" l="1"/>
  <c r="D21" i="2"/>
  <c r="G21" i="2"/>
  <c r="E21" i="2"/>
  <c r="H21" i="2"/>
  <c r="K21" i="2"/>
  <c r="F21" i="2"/>
  <c r="I21" i="2"/>
  <c r="A23" i="2"/>
  <c r="C22" i="2"/>
  <c r="B22" i="2"/>
  <c r="D22" i="2" l="1"/>
  <c r="E22" i="2"/>
  <c r="F22" i="2"/>
  <c r="G22" i="2"/>
  <c r="H22" i="2"/>
  <c r="I22" i="2"/>
  <c r="J22" i="2"/>
  <c r="K22" i="2"/>
  <c r="A24" i="2"/>
  <c r="C23" i="2"/>
  <c r="B23" i="2"/>
  <c r="D23" i="2" l="1"/>
  <c r="E23" i="2"/>
  <c r="G23" i="2"/>
  <c r="H23" i="2"/>
  <c r="I23" i="2"/>
  <c r="K23" i="2"/>
  <c r="F23" i="2"/>
  <c r="J23" i="2"/>
  <c r="A25" i="2"/>
  <c r="C24" i="2"/>
  <c r="B24" i="2"/>
  <c r="D24" i="2" l="1"/>
  <c r="E24" i="2"/>
  <c r="G24" i="2"/>
  <c r="H24" i="2"/>
  <c r="I24" i="2"/>
  <c r="J24" i="2"/>
  <c r="F24" i="2"/>
  <c r="K24" i="2"/>
  <c r="A26" i="2"/>
  <c r="C25" i="2"/>
  <c r="B25" i="2"/>
  <c r="D25" i="2" l="1"/>
  <c r="F25" i="2"/>
  <c r="G25" i="2"/>
  <c r="I25" i="2"/>
  <c r="J25" i="2"/>
  <c r="E25" i="2"/>
  <c r="H25" i="2"/>
  <c r="K25" i="2"/>
  <c r="A27" i="2"/>
  <c r="B26" i="2"/>
  <c r="C26" i="2"/>
  <c r="F26" i="2" l="1"/>
  <c r="I26" i="2"/>
  <c r="D26" i="2"/>
  <c r="G26" i="2"/>
  <c r="E26" i="2"/>
  <c r="H26" i="2"/>
  <c r="K26" i="2"/>
  <c r="J26" i="2"/>
  <c r="C27" i="2"/>
  <c r="A28" i="2"/>
  <c r="B27" i="2"/>
  <c r="A29" i="2" l="1"/>
  <c r="C28" i="2"/>
  <c r="B28" i="2"/>
  <c r="D27" i="2"/>
  <c r="G27" i="2"/>
  <c r="E27" i="2"/>
  <c r="F27" i="2"/>
  <c r="H27" i="2"/>
  <c r="I27" i="2"/>
  <c r="J27" i="2"/>
  <c r="K27" i="2"/>
  <c r="D28" i="2" l="1"/>
  <c r="K28" i="2"/>
  <c r="H28" i="2"/>
  <c r="J28" i="2"/>
  <c r="G28" i="2"/>
  <c r="F28" i="2"/>
  <c r="E28" i="2"/>
  <c r="I28" i="2"/>
  <c r="A30" i="2"/>
  <c r="B29" i="2"/>
  <c r="C29" i="2"/>
  <c r="G29" i="2" l="1"/>
  <c r="E29" i="2"/>
  <c r="K29" i="2"/>
  <c r="D29" i="2"/>
  <c r="F29" i="2"/>
  <c r="H29" i="2"/>
  <c r="J29" i="2"/>
  <c r="I29" i="2"/>
  <c r="B30" i="2"/>
  <c r="C30" i="2"/>
  <c r="A31" i="2"/>
  <c r="B31" i="2" l="1"/>
  <c r="C31" i="2"/>
  <c r="A32" i="2"/>
  <c r="E30" i="2"/>
  <c r="K30" i="2"/>
  <c r="J30" i="2"/>
  <c r="I30" i="2"/>
  <c r="H30" i="2"/>
  <c r="D30" i="2"/>
  <c r="G30" i="2"/>
  <c r="F30" i="2"/>
  <c r="D31" i="2" l="1"/>
  <c r="E31" i="2"/>
  <c r="F31" i="2"/>
  <c r="G31" i="2"/>
  <c r="J31" i="2"/>
  <c r="H31" i="2"/>
  <c r="I31" i="2"/>
  <c r="K31" i="2"/>
  <c r="B32" i="2"/>
  <c r="A33" i="2"/>
  <c r="C32" i="2"/>
  <c r="E32" i="2" l="1"/>
  <c r="F32" i="2"/>
  <c r="J32" i="2"/>
  <c r="H32" i="2"/>
  <c r="K32" i="2"/>
  <c r="D32" i="2"/>
  <c r="G32" i="2"/>
  <c r="I32" i="2"/>
  <c r="A34" i="2"/>
  <c r="B33" i="2"/>
  <c r="C33" i="2"/>
  <c r="G33" i="2" l="1"/>
  <c r="E33" i="2"/>
  <c r="H33" i="2"/>
  <c r="I33" i="2"/>
  <c r="K33" i="2"/>
  <c r="J33" i="2"/>
  <c r="D33" i="2"/>
  <c r="F33" i="2"/>
  <c r="A35" i="2"/>
  <c r="C34" i="2"/>
  <c r="B34" i="2"/>
  <c r="A36" i="2" l="1"/>
  <c r="C35" i="2"/>
  <c r="B35" i="2"/>
  <c r="D34" i="2"/>
  <c r="E34" i="2"/>
  <c r="F34" i="2"/>
  <c r="G34" i="2"/>
  <c r="H34" i="2"/>
  <c r="I34" i="2"/>
  <c r="J34" i="2"/>
  <c r="K34" i="2"/>
  <c r="D35" i="2" l="1"/>
  <c r="J35" i="2"/>
  <c r="K35" i="2"/>
  <c r="E35" i="2"/>
  <c r="G35" i="2"/>
  <c r="H35" i="2"/>
  <c r="F35" i="2"/>
  <c r="I35" i="2"/>
  <c r="A37" i="2"/>
  <c r="C36" i="2"/>
  <c r="B36" i="2"/>
  <c r="B37" i="2" l="1"/>
  <c r="C37" i="2"/>
  <c r="A38" i="2"/>
  <c r="D36" i="2"/>
  <c r="E36" i="2"/>
  <c r="F36" i="2"/>
  <c r="G36" i="2"/>
  <c r="H36" i="2"/>
  <c r="I36" i="2"/>
  <c r="J36" i="2"/>
  <c r="K36" i="2"/>
  <c r="C38" i="2" l="1"/>
  <c r="B38" i="2"/>
  <c r="H37" i="2"/>
  <c r="I37" i="2"/>
  <c r="J37" i="2"/>
  <c r="K37" i="2"/>
  <c r="E37" i="2"/>
  <c r="D37" i="2"/>
  <c r="F37" i="2"/>
  <c r="G37" i="2"/>
  <c r="D38" i="2" l="1"/>
  <c r="E38" i="2"/>
  <c r="F38" i="2"/>
  <c r="G38" i="2"/>
  <c r="H38" i="2"/>
  <c r="I38" i="2"/>
  <c r="J38" i="2"/>
  <c r="K38" i="2"/>
</calcChain>
</file>

<file path=xl/sharedStrings.xml><?xml version="1.0" encoding="utf-8"?>
<sst xmlns="http://schemas.openxmlformats.org/spreadsheetml/2006/main" count="99" uniqueCount="21">
  <si>
    <t>A14</t>
  </si>
  <si>
    <t>A15</t>
  </si>
  <si>
    <t>A16</t>
  </si>
  <si>
    <t>A17</t>
  </si>
  <si>
    <t>A18</t>
  </si>
  <si>
    <t>A19</t>
  </si>
  <si>
    <t>A20</t>
  </si>
  <si>
    <t>A21</t>
  </si>
  <si>
    <t>Segment</t>
  </si>
  <si>
    <t>Notes</t>
  </si>
  <si>
    <t>Internal RAM Page 3</t>
  </si>
  <si>
    <t>Note</t>
  </si>
  <si>
    <t>Internal DRAM</t>
  </si>
  <si>
    <t>512K SRAM</t>
  </si>
  <si>
    <t>No SRAM</t>
  </si>
  <si>
    <t>Test Vector</t>
  </si>
  <si>
    <t>MREQ</t>
  </si>
  <si>
    <t>RFSH</t>
  </si>
  <si>
    <t>Result</t>
  </si>
  <si>
    <t>H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</si>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</sst>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0" fillId="0" borderId="5" xfId="0" applyBorder="1"/>
    <xf numFmtId="0" fontId="0" fillId="2" borderId="5" xfId="0" applyFill="1" applyBorder="1"/>
    <xf numFmtId="0" fontId="0" fillId="3" borderId="5" xfId="0" applyFill="1" applyBorder="1"/>
    <xf numFmtId="0" fontId="0" fillId="4" borderId="5" xfId="0" applyFill="1" applyBorder="1"/>
    <xf numFmtId="0" fontId="0" fillId="5" borderId="5" xfId="0" applyFill="1" applyBorder="1"/>
    <xf numFmtId="0" fontId="0" fillId="0" borderId="5" xfId="0" applyFill="1" applyBorder="1"/>
    <xf numFmtId="0" fontId="0" fillId="6" borderId="5" xfId="0" applyFill="1" applyBorder="1"/>
    <xf numFmtId="0" fontId="0" fillId="7" borderId="5" xfId="0" applyFill="1" applyBorder="1"/>
    <xf numFmtId="0" fontId="0" fillId="8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5E42C-DAC2-46D0-B42B-36AF9EA2CA05}">
  <dimension ref="A1:K2"/>
  <sheetViews>
    <sheetView workbookViewId="0">
      <selection activeCell="I2" sqref="I2"/>
    </sheetView>
  </sheetViews>
  <sheetFormatPr defaultRowHeight="15" x14ac:dyDescent="0.25"/>
  <cols>
    <col min="9" max="9" width="19.85546875" customWidth="1"/>
  </cols>
  <sheetData>
    <row r="1" spans="1:11" ht="16.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1" ht="48" thickBot="1" x14ac:dyDescent="0.3">
      <c r="A2" s="3">
        <v>1</v>
      </c>
      <c r="B2" s="4">
        <v>1</v>
      </c>
      <c r="C2" s="4">
        <v>1</v>
      </c>
      <c r="D2" s="4">
        <v>1</v>
      </c>
      <c r="E2" s="4">
        <v>1</v>
      </c>
      <c r="F2" s="4">
        <v>1</v>
      </c>
      <c r="G2" s="4">
        <v>1</v>
      </c>
      <c r="H2" s="4">
        <v>1</v>
      </c>
      <c r="I2" s="4" t="str">
        <f>BIN2HEX(_xlfn.CONCAT(A2:H2))&amp;"h"</f>
        <v>FFh</v>
      </c>
      <c r="J2" s="4" t="s">
        <v>10</v>
      </c>
      <c r="K2" t="e">
        <f>-HEX2BIN(I2)</f>
        <v>#NUM!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E44C2-E3D0-4DE4-B977-572CEFD2873C}">
  <dimension ref="A1:P38"/>
  <sheetViews>
    <sheetView tabSelected="1" topLeftCell="B1" workbookViewId="0">
      <selection activeCell="T6" sqref="T6"/>
    </sheetView>
  </sheetViews>
  <sheetFormatPr defaultRowHeight="15" x14ac:dyDescent="0.25"/>
  <cols>
    <col min="1" max="1" width="4" hidden="1" customWidth="1"/>
    <col min="2" max="2" width="8.42578125" bestFit="1" customWidth="1"/>
    <col min="3" max="3" width="9" hidden="1" customWidth="1"/>
    <col min="4" max="11" width="4.140625" bestFit="1" customWidth="1"/>
    <col min="12" max="12" width="13.5703125" bestFit="1" customWidth="1"/>
    <col min="13" max="14" width="13.5703125" customWidth="1"/>
    <col min="15" max="15" width="11.140625" customWidth="1"/>
  </cols>
  <sheetData>
    <row r="1" spans="1:16" x14ac:dyDescent="0.25">
      <c r="B1" s="6" t="s">
        <v>8</v>
      </c>
      <c r="C1" s="6"/>
      <c r="D1" s="6" t="s">
        <v>7</v>
      </c>
      <c r="E1" s="6" t="s">
        <v>6</v>
      </c>
      <c r="F1" s="6" t="s">
        <v>5</v>
      </c>
      <c r="G1" s="6" t="s">
        <v>4</v>
      </c>
      <c r="H1" s="6" t="s">
        <v>3</v>
      </c>
      <c r="I1" s="6" t="s">
        <v>2</v>
      </c>
      <c r="J1" s="6" t="s">
        <v>1</v>
      </c>
      <c r="K1" s="6" t="s">
        <v>0</v>
      </c>
      <c r="L1" s="6" t="s">
        <v>11</v>
      </c>
      <c r="M1" s="6" t="s">
        <v>16</v>
      </c>
      <c r="N1" s="6" t="s">
        <v>17</v>
      </c>
      <c r="O1" s="6" t="s">
        <v>15</v>
      </c>
      <c r="P1" s="6" t="s">
        <v>18</v>
      </c>
    </row>
    <row r="2" spans="1:16" x14ac:dyDescent="0.25">
      <c r="A2">
        <v>255</v>
      </c>
      <c r="B2" s="10" t="str">
        <f>DEC2HEX(A2)</f>
        <v>FF</v>
      </c>
      <c r="C2" s="7" t="str">
        <f>DEC2BIN(A2)</f>
        <v>11111111</v>
      </c>
      <c r="D2" s="7" t="str">
        <f>MID($C2,COLUMN(A1),1)</f>
        <v>1</v>
      </c>
      <c r="E2" s="7" t="str">
        <f t="shared" ref="E2:K17" si="0">MID($C2,COLUMN(B1),1)</f>
        <v>1</v>
      </c>
      <c r="F2" s="7" t="str">
        <f t="shared" si="0"/>
        <v>1</v>
      </c>
      <c r="G2" s="7" t="str">
        <f t="shared" si="0"/>
        <v>1</v>
      </c>
      <c r="H2" s="7" t="str">
        <f t="shared" si="0"/>
        <v>1</v>
      </c>
      <c r="I2" s="7" t="str">
        <f t="shared" si="0"/>
        <v>1</v>
      </c>
      <c r="J2" s="7" t="str">
        <f t="shared" si="0"/>
        <v>1</v>
      </c>
      <c r="K2" s="7" t="str">
        <f t="shared" si="0"/>
        <v>1</v>
      </c>
      <c r="L2" s="5" t="s">
        <v>12</v>
      </c>
      <c r="M2" s="5">
        <v>0</v>
      </c>
      <c r="N2" s="5">
        <v>1</v>
      </c>
      <c r="O2" s="10" t="str">
        <f>_xlfn.CONCAT(D2:I2)&amp;_xlfn.CONCAT(M2:N2)</f>
        <v>11111101</v>
      </c>
      <c r="P2" s="5" t="s">
        <v>19</v>
      </c>
    </row>
    <row r="3" spans="1:16" x14ac:dyDescent="0.25">
      <c r="A3">
        <f>A2-1</f>
        <v>254</v>
      </c>
      <c r="B3" s="10" t="str">
        <f t="shared" ref="B3:B38" si="1">DEC2HEX(A3)</f>
        <v>FE</v>
      </c>
      <c r="C3" s="7" t="str">
        <f t="shared" ref="C3:C27" si="2">DEC2BIN(A3)</f>
        <v>11111110</v>
      </c>
      <c r="D3" s="7" t="str">
        <f t="shared" ref="D3:D26" si="3">MID($C3,COLUMN(A2),1)</f>
        <v>1</v>
      </c>
      <c r="E3" s="7" t="str">
        <f t="shared" si="0"/>
        <v>1</v>
      </c>
      <c r="F3" s="7" t="str">
        <f t="shared" si="0"/>
        <v>1</v>
      </c>
      <c r="G3" s="7" t="str">
        <f t="shared" si="0"/>
        <v>1</v>
      </c>
      <c r="H3" s="7" t="str">
        <f t="shared" si="0"/>
        <v>1</v>
      </c>
      <c r="I3" s="7" t="str">
        <f t="shared" si="0"/>
        <v>1</v>
      </c>
      <c r="J3" s="7" t="str">
        <f t="shared" si="0"/>
        <v>1</v>
      </c>
      <c r="K3" s="7" t="str">
        <f t="shared" si="0"/>
        <v>0</v>
      </c>
      <c r="L3" s="5" t="s">
        <v>12</v>
      </c>
      <c r="M3" s="5">
        <v>0</v>
      </c>
      <c r="N3" s="5">
        <v>1</v>
      </c>
      <c r="O3" s="10" t="str">
        <f t="shared" ref="O3:O38" si="4">_xlfn.CONCAT(D3:I3)&amp;_xlfn.CONCAT(M3:N3)</f>
        <v>11111101</v>
      </c>
      <c r="P3" s="5" t="s">
        <v>19</v>
      </c>
    </row>
    <row r="4" spans="1:16" x14ac:dyDescent="0.25">
      <c r="A4">
        <f t="shared" ref="A4:A29" si="5">A3-1</f>
        <v>253</v>
      </c>
      <c r="B4" s="10" t="str">
        <f t="shared" si="1"/>
        <v>FD</v>
      </c>
      <c r="C4" s="7" t="str">
        <f t="shared" si="2"/>
        <v>11111101</v>
      </c>
      <c r="D4" s="7" t="str">
        <f t="shared" si="3"/>
        <v>1</v>
      </c>
      <c r="E4" s="7" t="str">
        <f t="shared" si="0"/>
        <v>1</v>
      </c>
      <c r="F4" s="7" t="str">
        <f t="shared" si="0"/>
        <v>1</v>
      </c>
      <c r="G4" s="7" t="str">
        <f t="shared" si="0"/>
        <v>1</v>
      </c>
      <c r="H4" s="7" t="str">
        <f t="shared" si="0"/>
        <v>1</v>
      </c>
      <c r="I4" s="7" t="str">
        <f t="shared" si="0"/>
        <v>1</v>
      </c>
      <c r="J4" s="7" t="str">
        <f t="shared" si="0"/>
        <v>0</v>
      </c>
      <c r="K4" s="7" t="str">
        <f t="shared" si="0"/>
        <v>1</v>
      </c>
      <c r="L4" s="5" t="s">
        <v>12</v>
      </c>
      <c r="M4" s="5">
        <v>0</v>
      </c>
      <c r="N4" s="5">
        <v>1</v>
      </c>
      <c r="O4" s="10" t="str">
        <f t="shared" si="4"/>
        <v>11111101</v>
      </c>
      <c r="P4" s="5" t="s">
        <v>19</v>
      </c>
    </row>
    <row r="5" spans="1:16" x14ac:dyDescent="0.25">
      <c r="A5">
        <f t="shared" si="5"/>
        <v>252</v>
      </c>
      <c r="B5" s="10" t="str">
        <f t="shared" si="1"/>
        <v>FC</v>
      </c>
      <c r="C5" s="7" t="str">
        <f t="shared" si="2"/>
        <v>11111100</v>
      </c>
      <c r="D5" s="7" t="str">
        <f t="shared" si="3"/>
        <v>1</v>
      </c>
      <c r="E5" s="7" t="str">
        <f t="shared" si="0"/>
        <v>1</v>
      </c>
      <c r="F5" s="7" t="str">
        <f t="shared" si="0"/>
        <v>1</v>
      </c>
      <c r="G5" s="7" t="str">
        <f t="shared" si="0"/>
        <v>1</v>
      </c>
      <c r="H5" s="7" t="str">
        <f t="shared" si="0"/>
        <v>1</v>
      </c>
      <c r="I5" s="7" t="str">
        <f t="shared" si="0"/>
        <v>1</v>
      </c>
      <c r="J5" s="7" t="str">
        <f t="shared" si="0"/>
        <v>0</v>
      </c>
      <c r="K5" s="7" t="str">
        <f t="shared" si="0"/>
        <v>0</v>
      </c>
      <c r="L5" s="5" t="s">
        <v>12</v>
      </c>
      <c r="M5" s="5">
        <v>0</v>
      </c>
      <c r="N5" s="5">
        <v>1</v>
      </c>
      <c r="O5" s="10" t="str">
        <f t="shared" si="4"/>
        <v>11111101</v>
      </c>
      <c r="P5" s="5" t="s">
        <v>19</v>
      </c>
    </row>
    <row r="6" spans="1:16" x14ac:dyDescent="0.25">
      <c r="A6">
        <f t="shared" si="5"/>
        <v>251</v>
      </c>
      <c r="B6" s="5" t="str">
        <f t="shared" si="1"/>
        <v>FB</v>
      </c>
      <c r="C6" s="5" t="str">
        <f t="shared" si="2"/>
        <v>11111011</v>
      </c>
      <c r="D6" s="8" t="str">
        <f t="shared" si="3"/>
        <v>1</v>
      </c>
      <c r="E6" s="8" t="str">
        <f t="shared" si="0"/>
        <v>1</v>
      </c>
      <c r="F6" s="8" t="str">
        <f t="shared" si="0"/>
        <v>1</v>
      </c>
      <c r="G6" s="8" t="str">
        <f t="shared" si="0"/>
        <v>1</v>
      </c>
      <c r="H6" s="8" t="str">
        <f t="shared" si="0"/>
        <v>1</v>
      </c>
      <c r="I6" s="8" t="str">
        <f t="shared" si="0"/>
        <v>0</v>
      </c>
      <c r="J6" s="5" t="str">
        <f t="shared" si="0"/>
        <v>1</v>
      </c>
      <c r="K6" s="5" t="str">
        <f t="shared" si="0"/>
        <v>1</v>
      </c>
      <c r="L6" s="5" t="s">
        <v>13</v>
      </c>
      <c r="M6" s="5">
        <v>0</v>
      </c>
      <c r="N6" s="5">
        <v>1</v>
      </c>
      <c r="O6" s="10" t="str">
        <f t="shared" si="4"/>
        <v>11111001</v>
      </c>
      <c r="P6" s="5" t="s">
        <v>20</v>
      </c>
    </row>
    <row r="7" spans="1:16" x14ac:dyDescent="0.25">
      <c r="A7">
        <f t="shared" si="5"/>
        <v>250</v>
      </c>
      <c r="B7" s="5" t="str">
        <f t="shared" si="1"/>
        <v>FA</v>
      </c>
      <c r="C7" s="5" t="str">
        <f t="shared" si="2"/>
        <v>11111010</v>
      </c>
      <c r="D7" s="8" t="str">
        <f t="shared" si="3"/>
        <v>1</v>
      </c>
      <c r="E7" s="8" t="str">
        <f t="shared" si="0"/>
        <v>1</v>
      </c>
      <c r="F7" s="8" t="str">
        <f t="shared" si="0"/>
        <v>1</v>
      </c>
      <c r="G7" s="8" t="str">
        <f t="shared" si="0"/>
        <v>1</v>
      </c>
      <c r="H7" s="8" t="str">
        <f t="shared" si="0"/>
        <v>1</v>
      </c>
      <c r="I7" s="8" t="str">
        <f t="shared" si="0"/>
        <v>0</v>
      </c>
      <c r="J7" s="5" t="str">
        <f t="shared" si="0"/>
        <v>1</v>
      </c>
      <c r="K7" s="5" t="str">
        <f t="shared" si="0"/>
        <v>0</v>
      </c>
      <c r="L7" s="5" t="s">
        <v>13</v>
      </c>
      <c r="M7" s="5">
        <v>0</v>
      </c>
      <c r="N7" s="5">
        <v>1</v>
      </c>
      <c r="O7" s="10" t="str">
        <f t="shared" si="4"/>
        <v>11111001</v>
      </c>
      <c r="P7" s="5" t="s">
        <v>20</v>
      </c>
    </row>
    <row r="8" spans="1:16" x14ac:dyDescent="0.25">
      <c r="A8">
        <f t="shared" si="5"/>
        <v>249</v>
      </c>
      <c r="B8" s="5" t="str">
        <f t="shared" si="1"/>
        <v>F9</v>
      </c>
      <c r="C8" s="5" t="str">
        <f t="shared" si="2"/>
        <v>11111001</v>
      </c>
      <c r="D8" s="8" t="str">
        <f t="shared" si="3"/>
        <v>1</v>
      </c>
      <c r="E8" s="8" t="str">
        <f t="shared" si="0"/>
        <v>1</v>
      </c>
      <c r="F8" s="8" t="str">
        <f t="shared" si="0"/>
        <v>1</v>
      </c>
      <c r="G8" s="8" t="str">
        <f t="shared" si="0"/>
        <v>1</v>
      </c>
      <c r="H8" s="8" t="str">
        <f t="shared" si="0"/>
        <v>1</v>
      </c>
      <c r="I8" s="8" t="str">
        <f t="shared" si="0"/>
        <v>0</v>
      </c>
      <c r="J8" s="5" t="str">
        <f t="shared" si="0"/>
        <v>0</v>
      </c>
      <c r="K8" s="5" t="str">
        <f t="shared" si="0"/>
        <v>1</v>
      </c>
      <c r="L8" s="5" t="s">
        <v>13</v>
      </c>
      <c r="M8" s="5">
        <v>0</v>
      </c>
      <c r="N8" s="5">
        <v>1</v>
      </c>
      <c r="O8" s="10" t="str">
        <f t="shared" si="4"/>
        <v>11111001</v>
      </c>
      <c r="P8" s="5" t="s">
        <v>20</v>
      </c>
    </row>
    <row r="9" spans="1:16" x14ac:dyDescent="0.25">
      <c r="A9">
        <f t="shared" si="5"/>
        <v>248</v>
      </c>
      <c r="B9" s="5" t="str">
        <f t="shared" si="1"/>
        <v>F8</v>
      </c>
      <c r="C9" s="5" t="str">
        <f t="shared" si="2"/>
        <v>11111000</v>
      </c>
      <c r="D9" s="8" t="str">
        <f t="shared" si="3"/>
        <v>1</v>
      </c>
      <c r="E9" s="8" t="str">
        <f t="shared" si="0"/>
        <v>1</v>
      </c>
      <c r="F9" s="8" t="str">
        <f t="shared" si="0"/>
        <v>1</v>
      </c>
      <c r="G9" s="8" t="str">
        <f t="shared" si="0"/>
        <v>1</v>
      </c>
      <c r="H9" s="8" t="str">
        <f t="shared" si="0"/>
        <v>1</v>
      </c>
      <c r="I9" s="8" t="str">
        <f t="shared" si="0"/>
        <v>0</v>
      </c>
      <c r="J9" s="5" t="str">
        <f t="shared" si="0"/>
        <v>0</v>
      </c>
      <c r="K9" s="5" t="str">
        <f t="shared" si="0"/>
        <v>0</v>
      </c>
      <c r="L9" s="5" t="s">
        <v>13</v>
      </c>
      <c r="M9" s="5">
        <v>0</v>
      </c>
      <c r="N9" s="5">
        <v>1</v>
      </c>
      <c r="O9" s="10" t="str">
        <f t="shared" si="4"/>
        <v>11111001</v>
      </c>
      <c r="P9" s="5" t="s">
        <v>20</v>
      </c>
    </row>
    <row r="10" spans="1:16" x14ac:dyDescent="0.25">
      <c r="A10">
        <f t="shared" si="5"/>
        <v>247</v>
      </c>
      <c r="B10" s="5" t="str">
        <f t="shared" si="1"/>
        <v>F7</v>
      </c>
      <c r="C10" s="5" t="str">
        <f t="shared" si="2"/>
        <v>11110111</v>
      </c>
      <c r="D10" s="11" t="str">
        <f t="shared" si="3"/>
        <v>1</v>
      </c>
      <c r="E10" s="11" t="str">
        <f t="shared" si="0"/>
        <v>1</v>
      </c>
      <c r="F10" s="11" t="str">
        <f t="shared" si="0"/>
        <v>1</v>
      </c>
      <c r="G10" s="11" t="str">
        <f t="shared" si="0"/>
        <v>1</v>
      </c>
      <c r="H10" s="11" t="str">
        <f t="shared" si="0"/>
        <v>0</v>
      </c>
      <c r="I10" s="5" t="str">
        <f t="shared" si="0"/>
        <v>1</v>
      </c>
      <c r="J10" s="5" t="str">
        <f t="shared" si="0"/>
        <v>1</v>
      </c>
      <c r="K10" s="5" t="str">
        <f t="shared" si="0"/>
        <v>1</v>
      </c>
      <c r="L10" s="5" t="s">
        <v>13</v>
      </c>
      <c r="M10" s="5">
        <v>0</v>
      </c>
      <c r="N10" s="5">
        <v>1</v>
      </c>
      <c r="O10" s="10" t="str">
        <f t="shared" si="4"/>
        <v>11110101</v>
      </c>
      <c r="P10" s="5" t="s">
        <v>20</v>
      </c>
    </row>
    <row r="11" spans="1:16" x14ac:dyDescent="0.25">
      <c r="A11">
        <f t="shared" si="5"/>
        <v>246</v>
      </c>
      <c r="B11" s="5" t="str">
        <f t="shared" si="1"/>
        <v>F6</v>
      </c>
      <c r="C11" s="5" t="str">
        <f t="shared" si="2"/>
        <v>11110110</v>
      </c>
      <c r="D11" s="11" t="str">
        <f t="shared" si="3"/>
        <v>1</v>
      </c>
      <c r="E11" s="11" t="str">
        <f t="shared" si="0"/>
        <v>1</v>
      </c>
      <c r="F11" s="11" t="str">
        <f t="shared" si="0"/>
        <v>1</v>
      </c>
      <c r="G11" s="11" t="str">
        <f t="shared" si="0"/>
        <v>1</v>
      </c>
      <c r="H11" s="11" t="str">
        <f t="shared" si="0"/>
        <v>0</v>
      </c>
      <c r="I11" s="5" t="str">
        <f t="shared" si="0"/>
        <v>1</v>
      </c>
      <c r="J11" s="5" t="str">
        <f t="shared" si="0"/>
        <v>1</v>
      </c>
      <c r="K11" s="5" t="str">
        <f t="shared" si="0"/>
        <v>0</v>
      </c>
      <c r="L11" s="5" t="s">
        <v>13</v>
      </c>
      <c r="M11" s="5">
        <v>0</v>
      </c>
      <c r="N11" s="5">
        <v>1</v>
      </c>
      <c r="O11" s="10" t="str">
        <f t="shared" si="4"/>
        <v>11110101</v>
      </c>
      <c r="P11" s="5" t="s">
        <v>20</v>
      </c>
    </row>
    <row r="12" spans="1:16" x14ac:dyDescent="0.25">
      <c r="A12">
        <f t="shared" si="5"/>
        <v>245</v>
      </c>
      <c r="B12" s="5" t="str">
        <f t="shared" si="1"/>
        <v>F5</v>
      </c>
      <c r="C12" s="5" t="str">
        <f t="shared" si="2"/>
        <v>11110101</v>
      </c>
      <c r="D12" s="11" t="str">
        <f t="shared" si="3"/>
        <v>1</v>
      </c>
      <c r="E12" s="11" t="str">
        <f t="shared" si="0"/>
        <v>1</v>
      </c>
      <c r="F12" s="11" t="str">
        <f t="shared" si="0"/>
        <v>1</v>
      </c>
      <c r="G12" s="11" t="str">
        <f t="shared" si="0"/>
        <v>1</v>
      </c>
      <c r="H12" s="11" t="str">
        <f t="shared" si="0"/>
        <v>0</v>
      </c>
      <c r="I12" s="5" t="str">
        <f t="shared" si="0"/>
        <v>1</v>
      </c>
      <c r="J12" s="5" t="str">
        <f t="shared" si="0"/>
        <v>0</v>
      </c>
      <c r="K12" s="5" t="str">
        <f t="shared" si="0"/>
        <v>1</v>
      </c>
      <c r="L12" s="5" t="s">
        <v>13</v>
      </c>
      <c r="M12" s="5">
        <v>0</v>
      </c>
      <c r="N12" s="5">
        <v>1</v>
      </c>
      <c r="O12" s="10" t="str">
        <f t="shared" si="4"/>
        <v>11110101</v>
      </c>
      <c r="P12" s="5" t="s">
        <v>20</v>
      </c>
    </row>
    <row r="13" spans="1:16" x14ac:dyDescent="0.25">
      <c r="A13">
        <f t="shared" si="5"/>
        <v>244</v>
      </c>
      <c r="B13" s="5" t="str">
        <f t="shared" si="1"/>
        <v>F4</v>
      </c>
      <c r="C13" s="5" t="str">
        <f t="shared" si="2"/>
        <v>11110100</v>
      </c>
      <c r="D13" s="11" t="str">
        <f t="shared" si="3"/>
        <v>1</v>
      </c>
      <c r="E13" s="11" t="str">
        <f t="shared" si="0"/>
        <v>1</v>
      </c>
      <c r="F13" s="11" t="str">
        <f t="shared" si="0"/>
        <v>1</v>
      </c>
      <c r="G13" s="11" t="str">
        <f t="shared" si="0"/>
        <v>1</v>
      </c>
      <c r="H13" s="11" t="str">
        <f t="shared" si="0"/>
        <v>0</v>
      </c>
      <c r="I13" s="5" t="str">
        <f t="shared" si="0"/>
        <v>1</v>
      </c>
      <c r="J13" s="5" t="str">
        <f t="shared" si="0"/>
        <v>0</v>
      </c>
      <c r="K13" s="5" t="str">
        <f t="shared" si="0"/>
        <v>0</v>
      </c>
      <c r="L13" s="5" t="s">
        <v>13</v>
      </c>
      <c r="M13" s="5">
        <v>0</v>
      </c>
      <c r="N13" s="5">
        <v>1</v>
      </c>
      <c r="O13" s="10" t="str">
        <f t="shared" si="4"/>
        <v>11110101</v>
      </c>
      <c r="P13" s="5" t="s">
        <v>20</v>
      </c>
    </row>
    <row r="14" spans="1:16" x14ac:dyDescent="0.25">
      <c r="A14">
        <f t="shared" si="5"/>
        <v>243</v>
      </c>
      <c r="B14" s="5" t="str">
        <f t="shared" si="1"/>
        <v>F3</v>
      </c>
      <c r="C14" s="5" t="str">
        <f t="shared" si="2"/>
        <v>11110011</v>
      </c>
      <c r="D14" s="11" t="str">
        <f t="shared" si="3"/>
        <v>1</v>
      </c>
      <c r="E14" s="11" t="str">
        <f t="shared" si="0"/>
        <v>1</v>
      </c>
      <c r="F14" s="11" t="str">
        <f t="shared" si="0"/>
        <v>1</v>
      </c>
      <c r="G14" s="11" t="str">
        <f t="shared" si="0"/>
        <v>1</v>
      </c>
      <c r="H14" s="11" t="str">
        <f t="shared" si="0"/>
        <v>0</v>
      </c>
      <c r="I14" s="5" t="str">
        <f t="shared" si="0"/>
        <v>0</v>
      </c>
      <c r="J14" s="5" t="str">
        <f t="shared" si="0"/>
        <v>1</v>
      </c>
      <c r="K14" s="5" t="str">
        <f t="shared" si="0"/>
        <v>1</v>
      </c>
      <c r="L14" s="5" t="s">
        <v>13</v>
      </c>
      <c r="M14" s="5">
        <v>0</v>
      </c>
      <c r="N14" s="5">
        <v>1</v>
      </c>
      <c r="O14" s="10" t="str">
        <f t="shared" si="4"/>
        <v>11110001</v>
      </c>
      <c r="P14" s="5" t="s">
        <v>20</v>
      </c>
    </row>
    <row r="15" spans="1:16" x14ac:dyDescent="0.25">
      <c r="A15">
        <f t="shared" si="5"/>
        <v>242</v>
      </c>
      <c r="B15" s="5" t="str">
        <f t="shared" si="1"/>
        <v>F2</v>
      </c>
      <c r="C15" s="5" t="str">
        <f t="shared" si="2"/>
        <v>11110010</v>
      </c>
      <c r="D15" s="11" t="str">
        <f t="shared" si="3"/>
        <v>1</v>
      </c>
      <c r="E15" s="11" t="str">
        <f t="shared" si="0"/>
        <v>1</v>
      </c>
      <c r="F15" s="11" t="str">
        <f t="shared" si="0"/>
        <v>1</v>
      </c>
      <c r="G15" s="11" t="str">
        <f t="shared" si="0"/>
        <v>1</v>
      </c>
      <c r="H15" s="11" t="str">
        <f t="shared" si="0"/>
        <v>0</v>
      </c>
      <c r="I15" s="5" t="str">
        <f t="shared" si="0"/>
        <v>0</v>
      </c>
      <c r="J15" s="5" t="str">
        <f t="shared" si="0"/>
        <v>1</v>
      </c>
      <c r="K15" s="5" t="str">
        <f t="shared" si="0"/>
        <v>0</v>
      </c>
      <c r="L15" s="5" t="s">
        <v>13</v>
      </c>
      <c r="M15" s="5">
        <v>0</v>
      </c>
      <c r="N15" s="5">
        <v>1</v>
      </c>
      <c r="O15" s="10" t="str">
        <f t="shared" si="4"/>
        <v>11110001</v>
      </c>
      <c r="P15" s="5" t="s">
        <v>20</v>
      </c>
    </row>
    <row r="16" spans="1:16" x14ac:dyDescent="0.25">
      <c r="A16">
        <f t="shared" si="5"/>
        <v>241</v>
      </c>
      <c r="B16" s="5" t="str">
        <f t="shared" si="1"/>
        <v>F1</v>
      </c>
      <c r="C16" s="5" t="str">
        <f t="shared" si="2"/>
        <v>11110001</v>
      </c>
      <c r="D16" s="11" t="str">
        <f t="shared" si="3"/>
        <v>1</v>
      </c>
      <c r="E16" s="11" t="str">
        <f t="shared" si="0"/>
        <v>1</v>
      </c>
      <c r="F16" s="11" t="str">
        <f t="shared" si="0"/>
        <v>1</v>
      </c>
      <c r="G16" s="11" t="str">
        <f t="shared" si="0"/>
        <v>1</v>
      </c>
      <c r="H16" s="11" t="str">
        <f t="shared" si="0"/>
        <v>0</v>
      </c>
      <c r="I16" s="5" t="str">
        <f t="shared" si="0"/>
        <v>0</v>
      </c>
      <c r="J16" s="5" t="str">
        <f t="shared" si="0"/>
        <v>0</v>
      </c>
      <c r="K16" s="5" t="str">
        <f t="shared" si="0"/>
        <v>1</v>
      </c>
      <c r="L16" s="5" t="s">
        <v>13</v>
      </c>
      <c r="M16" s="5">
        <v>0</v>
      </c>
      <c r="N16" s="5">
        <v>1</v>
      </c>
      <c r="O16" s="10" t="str">
        <f t="shared" si="4"/>
        <v>11110001</v>
      </c>
      <c r="P16" s="5" t="s">
        <v>20</v>
      </c>
    </row>
    <row r="17" spans="1:16" x14ac:dyDescent="0.25">
      <c r="A17">
        <f t="shared" si="5"/>
        <v>240</v>
      </c>
      <c r="B17" s="5" t="str">
        <f t="shared" si="1"/>
        <v>F0</v>
      </c>
      <c r="C17" s="5" t="str">
        <f t="shared" si="2"/>
        <v>11110000</v>
      </c>
      <c r="D17" s="11" t="str">
        <f t="shared" si="3"/>
        <v>1</v>
      </c>
      <c r="E17" s="11" t="str">
        <f t="shared" si="0"/>
        <v>1</v>
      </c>
      <c r="F17" s="11" t="str">
        <f t="shared" si="0"/>
        <v>1</v>
      </c>
      <c r="G17" s="11" t="str">
        <f t="shared" si="0"/>
        <v>1</v>
      </c>
      <c r="H17" s="11" t="str">
        <f t="shared" si="0"/>
        <v>0</v>
      </c>
      <c r="I17" s="5" t="str">
        <f t="shared" si="0"/>
        <v>0</v>
      </c>
      <c r="J17" s="5" t="str">
        <f t="shared" si="0"/>
        <v>0</v>
      </c>
      <c r="K17" s="5" t="str">
        <f t="shared" si="0"/>
        <v>0</v>
      </c>
      <c r="L17" s="5" t="s">
        <v>13</v>
      </c>
      <c r="M17" s="5">
        <v>0</v>
      </c>
      <c r="N17" s="5">
        <v>1</v>
      </c>
      <c r="O17" s="10" t="str">
        <f t="shared" si="4"/>
        <v>11110001</v>
      </c>
      <c r="P17" s="5" t="s">
        <v>20</v>
      </c>
    </row>
    <row r="18" spans="1:16" x14ac:dyDescent="0.25">
      <c r="A18">
        <f t="shared" si="5"/>
        <v>239</v>
      </c>
      <c r="B18" s="5" t="str">
        <f t="shared" si="1"/>
        <v>EF</v>
      </c>
      <c r="C18" s="5" t="str">
        <f t="shared" si="2"/>
        <v>11101111</v>
      </c>
      <c r="D18" s="12" t="str">
        <f t="shared" si="3"/>
        <v>1</v>
      </c>
      <c r="E18" s="12" t="str">
        <f t="shared" ref="E18:E26" si="6">MID($C18,COLUMN(B17),1)</f>
        <v>1</v>
      </c>
      <c r="F18" s="12" t="str">
        <f t="shared" ref="F18:F26" si="7">MID($C18,COLUMN(C17),1)</f>
        <v>1</v>
      </c>
      <c r="G18" s="12" t="str">
        <f t="shared" ref="G18:G26" si="8">MID($C18,COLUMN(D17),1)</f>
        <v>0</v>
      </c>
      <c r="H18" s="5" t="str">
        <f t="shared" ref="H18:H26" si="9">MID($C18,COLUMN(E17),1)</f>
        <v>1</v>
      </c>
      <c r="I18" s="5" t="str">
        <f t="shared" ref="I18:I26" si="10">MID($C18,COLUMN(F17),1)</f>
        <v>1</v>
      </c>
      <c r="J18" s="5" t="str">
        <f t="shared" ref="J18:J26" si="11">MID($C18,COLUMN(G17),1)</f>
        <v>1</v>
      </c>
      <c r="K18" s="5" t="str">
        <f t="shared" ref="K18:K26" si="12">MID($C18,COLUMN(H17),1)</f>
        <v>1</v>
      </c>
      <c r="L18" s="5" t="s">
        <v>13</v>
      </c>
      <c r="M18" s="5">
        <v>0</v>
      </c>
      <c r="N18" s="5">
        <v>1</v>
      </c>
      <c r="O18" s="10" t="str">
        <f t="shared" si="4"/>
        <v>11101101</v>
      </c>
      <c r="P18" s="5" t="s">
        <v>20</v>
      </c>
    </row>
    <row r="19" spans="1:16" x14ac:dyDescent="0.25">
      <c r="A19">
        <f t="shared" si="5"/>
        <v>238</v>
      </c>
      <c r="B19" s="5" t="str">
        <f t="shared" si="1"/>
        <v>EE</v>
      </c>
      <c r="C19" s="5" t="str">
        <f t="shared" si="2"/>
        <v>11101110</v>
      </c>
      <c r="D19" s="12" t="str">
        <f t="shared" si="3"/>
        <v>1</v>
      </c>
      <c r="E19" s="12" t="str">
        <f t="shared" si="6"/>
        <v>1</v>
      </c>
      <c r="F19" s="12" t="str">
        <f t="shared" si="7"/>
        <v>1</v>
      </c>
      <c r="G19" s="12" t="str">
        <f t="shared" si="8"/>
        <v>0</v>
      </c>
      <c r="H19" s="5" t="str">
        <f t="shared" si="9"/>
        <v>1</v>
      </c>
      <c r="I19" s="5" t="str">
        <f t="shared" si="10"/>
        <v>1</v>
      </c>
      <c r="J19" s="5" t="str">
        <f t="shared" si="11"/>
        <v>1</v>
      </c>
      <c r="K19" s="5" t="str">
        <f t="shared" si="12"/>
        <v>0</v>
      </c>
      <c r="L19" s="5" t="s">
        <v>13</v>
      </c>
      <c r="M19" s="5">
        <v>0</v>
      </c>
      <c r="N19" s="5">
        <v>1</v>
      </c>
      <c r="O19" s="10" t="str">
        <f t="shared" si="4"/>
        <v>11101101</v>
      </c>
      <c r="P19" s="5" t="s">
        <v>20</v>
      </c>
    </row>
    <row r="20" spans="1:16" x14ac:dyDescent="0.25">
      <c r="A20">
        <f t="shared" si="5"/>
        <v>237</v>
      </c>
      <c r="B20" s="5" t="str">
        <f t="shared" si="1"/>
        <v>ED</v>
      </c>
      <c r="C20" s="5" t="str">
        <f t="shared" si="2"/>
        <v>11101101</v>
      </c>
      <c r="D20" s="12" t="str">
        <f t="shared" si="3"/>
        <v>1</v>
      </c>
      <c r="E20" s="12" t="str">
        <f t="shared" si="6"/>
        <v>1</v>
      </c>
      <c r="F20" s="12" t="str">
        <f t="shared" si="7"/>
        <v>1</v>
      </c>
      <c r="G20" s="12" t="str">
        <f t="shared" si="8"/>
        <v>0</v>
      </c>
      <c r="H20" s="5" t="str">
        <f t="shared" si="9"/>
        <v>1</v>
      </c>
      <c r="I20" s="5" t="str">
        <f t="shared" si="10"/>
        <v>1</v>
      </c>
      <c r="J20" s="5" t="str">
        <f t="shared" si="11"/>
        <v>0</v>
      </c>
      <c r="K20" s="5" t="str">
        <f t="shared" si="12"/>
        <v>1</v>
      </c>
      <c r="L20" s="5" t="s">
        <v>13</v>
      </c>
      <c r="M20" s="5">
        <v>0</v>
      </c>
      <c r="N20" s="5">
        <v>1</v>
      </c>
      <c r="O20" s="10" t="str">
        <f t="shared" si="4"/>
        <v>11101101</v>
      </c>
      <c r="P20" s="5" t="s">
        <v>20</v>
      </c>
    </row>
    <row r="21" spans="1:16" x14ac:dyDescent="0.25">
      <c r="A21">
        <f t="shared" si="5"/>
        <v>236</v>
      </c>
      <c r="B21" s="5" t="str">
        <f t="shared" si="1"/>
        <v>EC</v>
      </c>
      <c r="C21" s="5" t="str">
        <f t="shared" si="2"/>
        <v>11101100</v>
      </c>
      <c r="D21" s="12" t="str">
        <f t="shared" si="3"/>
        <v>1</v>
      </c>
      <c r="E21" s="12" t="str">
        <f t="shared" si="6"/>
        <v>1</v>
      </c>
      <c r="F21" s="12" t="str">
        <f t="shared" si="7"/>
        <v>1</v>
      </c>
      <c r="G21" s="12" t="str">
        <f t="shared" si="8"/>
        <v>0</v>
      </c>
      <c r="H21" s="5" t="str">
        <f t="shared" si="9"/>
        <v>1</v>
      </c>
      <c r="I21" s="5" t="str">
        <f t="shared" si="10"/>
        <v>1</v>
      </c>
      <c r="J21" s="5" t="str">
        <f t="shared" si="11"/>
        <v>0</v>
      </c>
      <c r="K21" s="5" t="str">
        <f t="shared" si="12"/>
        <v>0</v>
      </c>
      <c r="L21" s="5" t="s">
        <v>13</v>
      </c>
      <c r="M21" s="5">
        <v>0</v>
      </c>
      <c r="N21" s="5">
        <v>1</v>
      </c>
      <c r="O21" s="10" t="str">
        <f t="shared" si="4"/>
        <v>11101101</v>
      </c>
      <c r="P21" s="5" t="s">
        <v>20</v>
      </c>
    </row>
    <row r="22" spans="1:16" x14ac:dyDescent="0.25">
      <c r="A22">
        <f t="shared" si="5"/>
        <v>235</v>
      </c>
      <c r="B22" s="5" t="str">
        <f t="shared" si="1"/>
        <v>EB</v>
      </c>
      <c r="C22" s="5" t="str">
        <f t="shared" si="2"/>
        <v>11101011</v>
      </c>
      <c r="D22" s="12" t="str">
        <f t="shared" si="3"/>
        <v>1</v>
      </c>
      <c r="E22" s="12" t="str">
        <f t="shared" si="6"/>
        <v>1</v>
      </c>
      <c r="F22" s="12" t="str">
        <f t="shared" si="7"/>
        <v>1</v>
      </c>
      <c r="G22" s="12" t="str">
        <f t="shared" si="8"/>
        <v>0</v>
      </c>
      <c r="H22" s="5" t="str">
        <f t="shared" si="9"/>
        <v>1</v>
      </c>
      <c r="I22" s="5" t="str">
        <f t="shared" si="10"/>
        <v>0</v>
      </c>
      <c r="J22" s="5" t="str">
        <f t="shared" si="11"/>
        <v>1</v>
      </c>
      <c r="K22" s="5" t="str">
        <f t="shared" si="12"/>
        <v>1</v>
      </c>
      <c r="L22" s="5" t="s">
        <v>13</v>
      </c>
      <c r="M22" s="5">
        <v>0</v>
      </c>
      <c r="N22" s="5">
        <v>1</v>
      </c>
      <c r="O22" s="10" t="str">
        <f t="shared" si="4"/>
        <v>11101001</v>
      </c>
      <c r="P22" s="5" t="s">
        <v>20</v>
      </c>
    </row>
    <row r="23" spans="1:16" x14ac:dyDescent="0.25">
      <c r="A23">
        <f t="shared" si="5"/>
        <v>234</v>
      </c>
      <c r="B23" s="5" t="str">
        <f t="shared" si="1"/>
        <v>EA</v>
      </c>
      <c r="C23" s="5" t="str">
        <f t="shared" si="2"/>
        <v>11101010</v>
      </c>
      <c r="D23" s="12" t="str">
        <f t="shared" si="3"/>
        <v>1</v>
      </c>
      <c r="E23" s="12" t="str">
        <f t="shared" si="6"/>
        <v>1</v>
      </c>
      <c r="F23" s="12" t="str">
        <f t="shared" si="7"/>
        <v>1</v>
      </c>
      <c r="G23" s="12" t="str">
        <f t="shared" si="8"/>
        <v>0</v>
      </c>
      <c r="H23" s="5" t="str">
        <f t="shared" si="9"/>
        <v>1</v>
      </c>
      <c r="I23" s="5" t="str">
        <f t="shared" si="10"/>
        <v>0</v>
      </c>
      <c r="J23" s="5" t="str">
        <f t="shared" si="11"/>
        <v>1</v>
      </c>
      <c r="K23" s="5" t="str">
        <f t="shared" si="12"/>
        <v>0</v>
      </c>
      <c r="L23" s="5" t="s">
        <v>13</v>
      </c>
      <c r="M23" s="5">
        <v>0</v>
      </c>
      <c r="N23" s="5">
        <v>1</v>
      </c>
      <c r="O23" s="10" t="str">
        <f t="shared" si="4"/>
        <v>11101001</v>
      </c>
      <c r="P23" s="5" t="s">
        <v>20</v>
      </c>
    </row>
    <row r="24" spans="1:16" x14ac:dyDescent="0.25">
      <c r="A24">
        <f t="shared" si="5"/>
        <v>233</v>
      </c>
      <c r="B24" s="5" t="str">
        <f t="shared" si="1"/>
        <v>E9</v>
      </c>
      <c r="C24" s="5" t="str">
        <f t="shared" si="2"/>
        <v>11101001</v>
      </c>
      <c r="D24" s="12" t="str">
        <f t="shared" si="3"/>
        <v>1</v>
      </c>
      <c r="E24" s="12" t="str">
        <f t="shared" si="6"/>
        <v>1</v>
      </c>
      <c r="F24" s="12" t="str">
        <f t="shared" si="7"/>
        <v>1</v>
      </c>
      <c r="G24" s="12" t="str">
        <f t="shared" si="8"/>
        <v>0</v>
      </c>
      <c r="H24" s="5" t="str">
        <f t="shared" si="9"/>
        <v>1</v>
      </c>
      <c r="I24" s="5" t="str">
        <f t="shared" si="10"/>
        <v>0</v>
      </c>
      <c r="J24" s="5" t="str">
        <f t="shared" si="11"/>
        <v>0</v>
      </c>
      <c r="K24" s="5" t="str">
        <f t="shared" si="12"/>
        <v>1</v>
      </c>
      <c r="L24" s="5" t="s">
        <v>13</v>
      </c>
      <c r="M24" s="5">
        <v>0</v>
      </c>
      <c r="N24" s="5">
        <v>1</v>
      </c>
      <c r="O24" s="10" t="str">
        <f t="shared" si="4"/>
        <v>11101001</v>
      </c>
      <c r="P24" s="5" t="s">
        <v>20</v>
      </c>
    </row>
    <row r="25" spans="1:16" x14ac:dyDescent="0.25">
      <c r="A25">
        <f t="shared" si="5"/>
        <v>232</v>
      </c>
      <c r="B25" s="5" t="str">
        <f t="shared" si="1"/>
        <v>E8</v>
      </c>
      <c r="C25" s="5" t="str">
        <f t="shared" si="2"/>
        <v>11101000</v>
      </c>
      <c r="D25" s="12" t="str">
        <f t="shared" si="3"/>
        <v>1</v>
      </c>
      <c r="E25" s="12" t="str">
        <f t="shared" si="6"/>
        <v>1</v>
      </c>
      <c r="F25" s="12" t="str">
        <f t="shared" si="7"/>
        <v>1</v>
      </c>
      <c r="G25" s="12" t="str">
        <f t="shared" si="8"/>
        <v>0</v>
      </c>
      <c r="H25" s="5" t="str">
        <f t="shared" si="9"/>
        <v>1</v>
      </c>
      <c r="I25" s="5" t="str">
        <f t="shared" si="10"/>
        <v>0</v>
      </c>
      <c r="J25" s="5" t="str">
        <f t="shared" si="11"/>
        <v>0</v>
      </c>
      <c r="K25" s="5" t="str">
        <f t="shared" si="12"/>
        <v>0</v>
      </c>
      <c r="L25" s="5" t="s">
        <v>13</v>
      </c>
      <c r="M25" s="5">
        <v>0</v>
      </c>
      <c r="N25" s="5">
        <v>1</v>
      </c>
      <c r="O25" s="10" t="str">
        <f t="shared" si="4"/>
        <v>11101001</v>
      </c>
      <c r="P25" s="5" t="s">
        <v>20</v>
      </c>
    </row>
    <row r="26" spans="1:16" x14ac:dyDescent="0.25">
      <c r="A26">
        <f t="shared" si="5"/>
        <v>231</v>
      </c>
      <c r="B26" s="5" t="str">
        <f t="shared" si="1"/>
        <v>E7</v>
      </c>
      <c r="C26" s="5" t="str">
        <f t="shared" si="2"/>
        <v>11100111</v>
      </c>
      <c r="D26" s="12" t="str">
        <f t="shared" si="3"/>
        <v>1</v>
      </c>
      <c r="E26" s="12" t="str">
        <f t="shared" si="6"/>
        <v>1</v>
      </c>
      <c r="F26" s="12" t="str">
        <f t="shared" si="7"/>
        <v>1</v>
      </c>
      <c r="G26" s="12" t="str">
        <f t="shared" si="8"/>
        <v>0</v>
      </c>
      <c r="H26" s="5" t="str">
        <f t="shared" si="9"/>
        <v>0</v>
      </c>
      <c r="I26" s="5" t="str">
        <f t="shared" si="10"/>
        <v>1</v>
      </c>
      <c r="J26" s="5" t="str">
        <f t="shared" si="11"/>
        <v>1</v>
      </c>
      <c r="K26" s="5" t="str">
        <f t="shared" si="12"/>
        <v>1</v>
      </c>
      <c r="L26" s="5" t="s">
        <v>13</v>
      </c>
      <c r="M26" s="5">
        <v>0</v>
      </c>
      <c r="N26" s="5">
        <v>1</v>
      </c>
      <c r="O26" s="10" t="str">
        <f t="shared" si="4"/>
        <v>11100101</v>
      </c>
      <c r="P26" s="5" t="s">
        <v>20</v>
      </c>
    </row>
    <row r="27" spans="1:16" x14ac:dyDescent="0.25">
      <c r="A27">
        <f t="shared" si="5"/>
        <v>230</v>
      </c>
      <c r="B27" s="5" t="str">
        <f t="shared" si="1"/>
        <v>E6</v>
      </c>
      <c r="C27" s="5" t="str">
        <f t="shared" si="2"/>
        <v>11100110</v>
      </c>
      <c r="D27" s="12" t="str">
        <f t="shared" ref="D27" si="13">MID($C27,COLUMN(A26),1)</f>
        <v>1</v>
      </c>
      <c r="E27" s="12" t="str">
        <f t="shared" ref="E27" si="14">MID($C27,COLUMN(B26),1)</f>
        <v>1</v>
      </c>
      <c r="F27" s="12" t="str">
        <f t="shared" ref="F27" si="15">MID($C27,COLUMN(C26),1)</f>
        <v>1</v>
      </c>
      <c r="G27" s="12" t="str">
        <f t="shared" ref="G27" si="16">MID($C27,COLUMN(D26),1)</f>
        <v>0</v>
      </c>
      <c r="H27" s="5" t="str">
        <f t="shared" ref="H27" si="17">MID($C27,COLUMN(E26),1)</f>
        <v>0</v>
      </c>
      <c r="I27" s="5" t="str">
        <f t="shared" ref="I27" si="18">MID($C27,COLUMN(F26),1)</f>
        <v>1</v>
      </c>
      <c r="J27" s="5" t="str">
        <f t="shared" ref="J27" si="19">MID($C27,COLUMN(G26),1)</f>
        <v>1</v>
      </c>
      <c r="K27" s="5" t="str">
        <f t="shared" ref="K27" si="20">MID($C27,COLUMN(H26),1)</f>
        <v>0</v>
      </c>
      <c r="L27" s="5" t="s">
        <v>13</v>
      </c>
      <c r="M27" s="5">
        <v>0</v>
      </c>
      <c r="N27" s="5">
        <v>1</v>
      </c>
      <c r="O27" s="10" t="str">
        <f t="shared" si="4"/>
        <v>11100101</v>
      </c>
      <c r="P27" s="5" t="s">
        <v>20</v>
      </c>
    </row>
    <row r="28" spans="1:16" x14ac:dyDescent="0.25">
      <c r="A28">
        <f t="shared" si="5"/>
        <v>229</v>
      </c>
      <c r="B28" s="5" t="str">
        <f t="shared" si="1"/>
        <v>E5</v>
      </c>
      <c r="C28" s="5" t="str">
        <f t="shared" ref="C28:C29" si="21">DEC2BIN(A28)</f>
        <v>11100101</v>
      </c>
      <c r="D28" s="12" t="str">
        <f t="shared" ref="D28:D29" si="22">MID($C28,COLUMN(A27),1)</f>
        <v>1</v>
      </c>
      <c r="E28" s="12" t="str">
        <f t="shared" ref="E28:E29" si="23">MID($C28,COLUMN(B27),1)</f>
        <v>1</v>
      </c>
      <c r="F28" s="12" t="str">
        <f t="shared" ref="F28:F29" si="24">MID($C28,COLUMN(C27),1)</f>
        <v>1</v>
      </c>
      <c r="G28" s="12" t="str">
        <f t="shared" ref="G28:G29" si="25">MID($C28,COLUMN(D27),1)</f>
        <v>0</v>
      </c>
      <c r="H28" s="5" t="str">
        <f t="shared" ref="H28:H29" si="26">MID($C28,COLUMN(E27),1)</f>
        <v>0</v>
      </c>
      <c r="I28" s="5" t="str">
        <f t="shared" ref="I28:I29" si="27">MID($C28,COLUMN(F27),1)</f>
        <v>1</v>
      </c>
      <c r="J28" s="5" t="str">
        <f t="shared" ref="J28:J29" si="28">MID($C28,COLUMN(G27),1)</f>
        <v>0</v>
      </c>
      <c r="K28" s="5" t="str">
        <f t="shared" ref="K28:K29" si="29">MID($C28,COLUMN(H27),1)</f>
        <v>1</v>
      </c>
      <c r="L28" s="5" t="s">
        <v>13</v>
      </c>
      <c r="M28" s="5">
        <v>0</v>
      </c>
      <c r="N28" s="5">
        <v>1</v>
      </c>
      <c r="O28" s="10" t="str">
        <f t="shared" si="4"/>
        <v>11100101</v>
      </c>
      <c r="P28" s="5" t="s">
        <v>20</v>
      </c>
    </row>
    <row r="29" spans="1:16" x14ac:dyDescent="0.25">
      <c r="A29">
        <f t="shared" si="5"/>
        <v>228</v>
      </c>
      <c r="B29" s="5" t="str">
        <f t="shared" si="1"/>
        <v>E4</v>
      </c>
      <c r="C29" s="5" t="str">
        <f t="shared" si="21"/>
        <v>11100100</v>
      </c>
      <c r="D29" s="12" t="str">
        <f t="shared" si="22"/>
        <v>1</v>
      </c>
      <c r="E29" s="12" t="str">
        <f t="shared" si="23"/>
        <v>1</v>
      </c>
      <c r="F29" s="12" t="str">
        <f t="shared" si="24"/>
        <v>1</v>
      </c>
      <c r="G29" s="12" t="str">
        <f t="shared" si="25"/>
        <v>0</v>
      </c>
      <c r="H29" s="5" t="str">
        <f t="shared" si="26"/>
        <v>0</v>
      </c>
      <c r="I29" s="5" t="str">
        <f t="shared" si="27"/>
        <v>1</v>
      </c>
      <c r="J29" s="5" t="str">
        <f t="shared" si="28"/>
        <v>0</v>
      </c>
      <c r="K29" s="5" t="str">
        <f t="shared" si="29"/>
        <v>0</v>
      </c>
      <c r="L29" s="5" t="s">
        <v>13</v>
      </c>
      <c r="M29" s="5">
        <v>0</v>
      </c>
      <c r="N29" s="5">
        <v>1</v>
      </c>
      <c r="O29" s="10" t="str">
        <f t="shared" si="4"/>
        <v>11100101</v>
      </c>
      <c r="P29" s="5" t="s">
        <v>20</v>
      </c>
    </row>
    <row r="30" spans="1:16" x14ac:dyDescent="0.25">
      <c r="A30">
        <f t="shared" ref="A30:A38" si="30">A29-1</f>
        <v>227</v>
      </c>
      <c r="B30" s="5" t="str">
        <f t="shared" si="1"/>
        <v>E3</v>
      </c>
      <c r="C30" s="5" t="str">
        <f t="shared" ref="C30:C38" si="31">DEC2BIN(A30)</f>
        <v>11100011</v>
      </c>
      <c r="D30" s="12" t="str">
        <f t="shared" ref="D30:D37" si="32">MID($C30,COLUMN(A29),1)</f>
        <v>1</v>
      </c>
      <c r="E30" s="12" t="str">
        <f t="shared" ref="E30:E34" si="33">MID($C30,COLUMN(B29),1)</f>
        <v>1</v>
      </c>
      <c r="F30" s="12" t="str">
        <f t="shared" ref="F30:F34" si="34">MID($C30,COLUMN(C29),1)</f>
        <v>1</v>
      </c>
      <c r="G30" s="12" t="str">
        <f t="shared" ref="G30:G34" si="35">MID($C30,COLUMN(D29),1)</f>
        <v>0</v>
      </c>
      <c r="H30" s="5" t="str">
        <f t="shared" ref="H30:H34" si="36">MID($C30,COLUMN(E29),1)</f>
        <v>0</v>
      </c>
      <c r="I30" s="5" t="str">
        <f t="shared" ref="I30:I34" si="37">MID($C30,COLUMN(F29),1)</f>
        <v>0</v>
      </c>
      <c r="J30" s="5" t="str">
        <f t="shared" ref="J30:J34" si="38">MID($C30,COLUMN(G29),1)</f>
        <v>1</v>
      </c>
      <c r="K30" s="5" t="str">
        <f t="shared" ref="K30:K34" si="39">MID($C30,COLUMN(H29),1)</f>
        <v>1</v>
      </c>
      <c r="L30" s="5" t="s">
        <v>13</v>
      </c>
      <c r="M30" s="5">
        <v>0</v>
      </c>
      <c r="N30" s="5">
        <v>1</v>
      </c>
      <c r="O30" s="10" t="str">
        <f t="shared" si="4"/>
        <v>11100001</v>
      </c>
      <c r="P30" s="5" t="s">
        <v>20</v>
      </c>
    </row>
    <row r="31" spans="1:16" x14ac:dyDescent="0.25">
      <c r="A31">
        <f t="shared" si="30"/>
        <v>226</v>
      </c>
      <c r="B31" s="5" t="str">
        <f t="shared" si="1"/>
        <v>E2</v>
      </c>
      <c r="C31" s="5" t="str">
        <f t="shared" si="31"/>
        <v>11100010</v>
      </c>
      <c r="D31" s="12" t="str">
        <f t="shared" si="32"/>
        <v>1</v>
      </c>
      <c r="E31" s="12" t="str">
        <f t="shared" si="33"/>
        <v>1</v>
      </c>
      <c r="F31" s="12" t="str">
        <f t="shared" si="34"/>
        <v>1</v>
      </c>
      <c r="G31" s="12" t="str">
        <f t="shared" si="35"/>
        <v>0</v>
      </c>
      <c r="H31" s="5" t="str">
        <f t="shared" si="36"/>
        <v>0</v>
      </c>
      <c r="I31" s="5" t="str">
        <f t="shared" si="37"/>
        <v>0</v>
      </c>
      <c r="J31" s="5" t="str">
        <f t="shared" si="38"/>
        <v>1</v>
      </c>
      <c r="K31" s="5" t="str">
        <f t="shared" si="39"/>
        <v>0</v>
      </c>
      <c r="L31" s="5" t="s">
        <v>13</v>
      </c>
      <c r="M31" s="5">
        <v>0</v>
      </c>
      <c r="N31" s="5">
        <v>1</v>
      </c>
      <c r="O31" s="10" t="str">
        <f t="shared" si="4"/>
        <v>11100001</v>
      </c>
      <c r="P31" s="5" t="s">
        <v>20</v>
      </c>
    </row>
    <row r="32" spans="1:16" x14ac:dyDescent="0.25">
      <c r="A32">
        <f t="shared" si="30"/>
        <v>225</v>
      </c>
      <c r="B32" s="5" t="str">
        <f t="shared" si="1"/>
        <v>E1</v>
      </c>
      <c r="C32" s="5" t="str">
        <f t="shared" si="31"/>
        <v>11100001</v>
      </c>
      <c r="D32" s="12" t="str">
        <f t="shared" si="32"/>
        <v>1</v>
      </c>
      <c r="E32" s="12" t="str">
        <f t="shared" si="33"/>
        <v>1</v>
      </c>
      <c r="F32" s="12" t="str">
        <f t="shared" si="34"/>
        <v>1</v>
      </c>
      <c r="G32" s="12" t="str">
        <f t="shared" si="35"/>
        <v>0</v>
      </c>
      <c r="H32" s="5" t="str">
        <f t="shared" si="36"/>
        <v>0</v>
      </c>
      <c r="I32" s="5" t="str">
        <f t="shared" si="37"/>
        <v>0</v>
      </c>
      <c r="J32" s="5" t="str">
        <f t="shared" si="38"/>
        <v>0</v>
      </c>
      <c r="K32" s="5" t="str">
        <f t="shared" si="39"/>
        <v>1</v>
      </c>
      <c r="L32" s="5" t="s">
        <v>13</v>
      </c>
      <c r="M32" s="5">
        <v>0</v>
      </c>
      <c r="N32" s="5">
        <v>1</v>
      </c>
      <c r="O32" s="10" t="str">
        <f t="shared" si="4"/>
        <v>11100001</v>
      </c>
      <c r="P32" s="5" t="s">
        <v>20</v>
      </c>
    </row>
    <row r="33" spans="1:16" x14ac:dyDescent="0.25">
      <c r="A33">
        <f t="shared" si="30"/>
        <v>224</v>
      </c>
      <c r="B33" s="5" t="str">
        <f t="shared" si="1"/>
        <v>E0</v>
      </c>
      <c r="C33" s="5" t="str">
        <f t="shared" si="31"/>
        <v>11100000</v>
      </c>
      <c r="D33" s="12" t="str">
        <f t="shared" si="32"/>
        <v>1</v>
      </c>
      <c r="E33" s="12" t="str">
        <f t="shared" si="33"/>
        <v>1</v>
      </c>
      <c r="F33" s="12" t="str">
        <f t="shared" si="34"/>
        <v>1</v>
      </c>
      <c r="G33" s="12" t="str">
        <f t="shared" si="35"/>
        <v>0</v>
      </c>
      <c r="H33" s="5" t="str">
        <f t="shared" si="36"/>
        <v>0</v>
      </c>
      <c r="I33" s="5" t="str">
        <f t="shared" si="37"/>
        <v>0</v>
      </c>
      <c r="J33" s="5" t="str">
        <f t="shared" si="38"/>
        <v>0</v>
      </c>
      <c r="K33" s="5" t="str">
        <f t="shared" si="39"/>
        <v>0</v>
      </c>
      <c r="L33" s="5" t="s">
        <v>13</v>
      </c>
      <c r="M33" s="5">
        <v>0</v>
      </c>
      <c r="N33" s="5">
        <v>1</v>
      </c>
      <c r="O33" s="10" t="str">
        <f t="shared" si="4"/>
        <v>11100001</v>
      </c>
      <c r="P33" s="5" t="s">
        <v>20</v>
      </c>
    </row>
    <row r="34" spans="1:16" x14ac:dyDescent="0.25">
      <c r="A34">
        <f t="shared" si="30"/>
        <v>223</v>
      </c>
      <c r="B34" s="5" t="str">
        <f t="shared" si="1"/>
        <v>DF</v>
      </c>
      <c r="C34" s="5" t="str">
        <f t="shared" si="31"/>
        <v>11011111</v>
      </c>
      <c r="D34" s="13" t="str">
        <f t="shared" si="32"/>
        <v>1</v>
      </c>
      <c r="E34" s="13" t="str">
        <f t="shared" ref="E34:E37" si="40">MID($C34,COLUMN(B33),1)</f>
        <v>1</v>
      </c>
      <c r="F34" s="13" t="str">
        <f t="shared" ref="F34:F37" si="41">MID($C34,COLUMN(C33),1)</f>
        <v>0</v>
      </c>
      <c r="G34" s="13" t="str">
        <f t="shared" ref="G34:G37" si="42">MID($C34,COLUMN(D33),1)</f>
        <v>1</v>
      </c>
      <c r="H34" s="13" t="str">
        <f t="shared" ref="H34:H37" si="43">MID($C34,COLUMN(E33),1)</f>
        <v>1</v>
      </c>
      <c r="I34" s="13" t="str">
        <f t="shared" ref="I34:I37" si="44">MID($C34,COLUMN(F33),1)</f>
        <v>1</v>
      </c>
      <c r="J34" s="5" t="str">
        <f t="shared" ref="J34:J37" si="45">MID($C34,COLUMN(G33),1)</f>
        <v>1</v>
      </c>
      <c r="K34" s="5" t="str">
        <f t="shared" ref="K34:K37" si="46">MID($C34,COLUMN(H33),1)</f>
        <v>1</v>
      </c>
      <c r="L34" s="5" t="s">
        <v>13</v>
      </c>
      <c r="M34" s="5">
        <v>0</v>
      </c>
      <c r="N34" s="5">
        <v>1</v>
      </c>
      <c r="O34" s="10" t="str">
        <f t="shared" si="4"/>
        <v>11011101</v>
      </c>
      <c r="P34" s="5" t="s">
        <v>20</v>
      </c>
    </row>
    <row r="35" spans="1:16" x14ac:dyDescent="0.25">
      <c r="A35">
        <f t="shared" si="30"/>
        <v>222</v>
      </c>
      <c r="B35" s="5" t="str">
        <f t="shared" si="1"/>
        <v>DE</v>
      </c>
      <c r="C35" s="5" t="str">
        <f t="shared" si="31"/>
        <v>11011110</v>
      </c>
      <c r="D35" s="13" t="str">
        <f t="shared" si="32"/>
        <v>1</v>
      </c>
      <c r="E35" s="13" t="str">
        <f t="shared" si="40"/>
        <v>1</v>
      </c>
      <c r="F35" s="13" t="str">
        <f t="shared" si="41"/>
        <v>0</v>
      </c>
      <c r="G35" s="13" t="str">
        <f t="shared" si="42"/>
        <v>1</v>
      </c>
      <c r="H35" s="13" t="str">
        <f t="shared" si="43"/>
        <v>1</v>
      </c>
      <c r="I35" s="13" t="str">
        <f t="shared" si="44"/>
        <v>1</v>
      </c>
      <c r="J35" s="5" t="str">
        <f t="shared" si="45"/>
        <v>1</v>
      </c>
      <c r="K35" s="5" t="str">
        <f t="shared" si="46"/>
        <v>0</v>
      </c>
      <c r="L35" s="5" t="s">
        <v>13</v>
      </c>
      <c r="M35" s="5">
        <v>0</v>
      </c>
      <c r="N35" s="5">
        <v>1</v>
      </c>
      <c r="O35" s="10" t="str">
        <f t="shared" si="4"/>
        <v>11011101</v>
      </c>
      <c r="P35" s="5" t="s">
        <v>20</v>
      </c>
    </row>
    <row r="36" spans="1:16" x14ac:dyDescent="0.25">
      <c r="A36">
        <f t="shared" si="30"/>
        <v>221</v>
      </c>
      <c r="B36" s="5" t="str">
        <f t="shared" si="1"/>
        <v>DD</v>
      </c>
      <c r="C36" s="5" t="str">
        <f t="shared" si="31"/>
        <v>11011101</v>
      </c>
      <c r="D36" s="13" t="str">
        <f t="shared" si="32"/>
        <v>1</v>
      </c>
      <c r="E36" s="13" t="str">
        <f t="shared" si="40"/>
        <v>1</v>
      </c>
      <c r="F36" s="13" t="str">
        <f t="shared" si="41"/>
        <v>0</v>
      </c>
      <c r="G36" s="13" t="str">
        <f t="shared" si="42"/>
        <v>1</v>
      </c>
      <c r="H36" s="13" t="str">
        <f t="shared" si="43"/>
        <v>1</v>
      </c>
      <c r="I36" s="13" t="str">
        <f t="shared" si="44"/>
        <v>1</v>
      </c>
      <c r="J36" s="5" t="str">
        <f t="shared" si="45"/>
        <v>0</v>
      </c>
      <c r="K36" s="5" t="str">
        <f t="shared" si="46"/>
        <v>1</v>
      </c>
      <c r="L36" s="5" t="s">
        <v>13</v>
      </c>
      <c r="M36" s="5">
        <v>0</v>
      </c>
      <c r="N36" s="5">
        <v>1</v>
      </c>
      <c r="O36" s="10" t="str">
        <f t="shared" si="4"/>
        <v>11011101</v>
      </c>
      <c r="P36" s="5" t="s">
        <v>20</v>
      </c>
    </row>
    <row r="37" spans="1:16" x14ac:dyDescent="0.25">
      <c r="A37">
        <f t="shared" si="30"/>
        <v>220</v>
      </c>
      <c r="B37" s="5" t="str">
        <f t="shared" si="1"/>
        <v>DC</v>
      </c>
      <c r="C37" s="5" t="str">
        <f t="shared" si="31"/>
        <v>11011100</v>
      </c>
      <c r="D37" s="13" t="str">
        <f t="shared" si="32"/>
        <v>1</v>
      </c>
      <c r="E37" s="13" t="str">
        <f t="shared" si="40"/>
        <v>1</v>
      </c>
      <c r="F37" s="13" t="str">
        <f t="shared" si="41"/>
        <v>0</v>
      </c>
      <c r="G37" s="13" t="str">
        <f t="shared" si="42"/>
        <v>1</v>
      </c>
      <c r="H37" s="13" t="str">
        <f t="shared" si="43"/>
        <v>1</v>
      </c>
      <c r="I37" s="13" t="str">
        <f t="shared" si="44"/>
        <v>1</v>
      </c>
      <c r="J37" s="5" t="str">
        <f t="shared" si="45"/>
        <v>0</v>
      </c>
      <c r="K37" s="5" t="str">
        <f t="shared" si="46"/>
        <v>0</v>
      </c>
      <c r="L37" s="5" t="s">
        <v>13</v>
      </c>
      <c r="M37" s="5">
        <v>0</v>
      </c>
      <c r="N37" s="5">
        <v>1</v>
      </c>
      <c r="O37" s="10" t="str">
        <f t="shared" si="4"/>
        <v>11011101</v>
      </c>
      <c r="P37" s="5" t="s">
        <v>20</v>
      </c>
    </row>
    <row r="38" spans="1:16" x14ac:dyDescent="0.25">
      <c r="A38">
        <f t="shared" si="30"/>
        <v>219</v>
      </c>
      <c r="B38" s="5" t="str">
        <f t="shared" si="1"/>
        <v>DB</v>
      </c>
      <c r="C38" s="5" t="str">
        <f t="shared" si="31"/>
        <v>11011011</v>
      </c>
      <c r="D38" s="5" t="str">
        <f t="shared" ref="D38" si="47">MID($C38,COLUMN(A37),1)</f>
        <v>1</v>
      </c>
      <c r="E38" s="5" t="str">
        <f t="shared" ref="E38" si="48">MID($C38,COLUMN(B37),1)</f>
        <v>1</v>
      </c>
      <c r="F38" s="9" t="str">
        <f t="shared" ref="F38" si="49">MID($C38,COLUMN(C37),1)</f>
        <v>0</v>
      </c>
      <c r="G38" s="9" t="str">
        <f t="shared" ref="G38" si="50">MID($C38,COLUMN(D37),1)</f>
        <v>1</v>
      </c>
      <c r="H38" s="5" t="str">
        <f t="shared" ref="H38" si="51">MID($C38,COLUMN(E37),1)</f>
        <v>1</v>
      </c>
      <c r="I38" s="5" t="str">
        <f t="shared" ref="I38" si="52">MID($C38,COLUMN(F37),1)</f>
        <v>0</v>
      </c>
      <c r="J38" s="5" t="str">
        <f t="shared" ref="J38" si="53">MID($C38,COLUMN(G37),1)</f>
        <v>1</v>
      </c>
      <c r="K38" s="5" t="str">
        <f t="shared" ref="K38" si="54">MID($C38,COLUMN(H37),1)</f>
        <v>1</v>
      </c>
      <c r="L38" s="10" t="s">
        <v>14</v>
      </c>
      <c r="M38" s="5">
        <v>0</v>
      </c>
      <c r="N38" s="5">
        <v>1</v>
      </c>
      <c r="O38" s="10" t="str">
        <f t="shared" si="4"/>
        <v>11011001</v>
      </c>
      <c r="P38" s="5" t="s">
        <v>19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Bewes</dc:creator>
  <cp:lastModifiedBy>Robert Bewes</cp:lastModifiedBy>
  <dcterms:created xsi:type="dcterms:W3CDTF">2026-05-25T10:39:35Z</dcterms:created>
  <dcterms:modified xsi:type="dcterms:W3CDTF">2026-05-25T13:43:23Z</dcterms:modified>
</cp:coreProperties>
</file>